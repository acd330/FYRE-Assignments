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</sheets>
  <definedNames/>
  <calcPr/>
</workbook>
</file>

<file path=xl/sharedStrings.xml><?xml version="1.0" encoding="utf-8"?>
<sst xmlns="http://schemas.openxmlformats.org/spreadsheetml/2006/main" count="28" uniqueCount="19">
  <si>
    <t>Condition</t>
  </si>
  <si>
    <t>Measured</t>
  </si>
  <si>
    <t>Sampled with ADC</t>
  </si>
  <si>
    <t>Average (V)</t>
  </si>
  <si>
    <t>St.Dev. (V)</t>
  </si>
  <si>
    <t>Dry</t>
  </si>
  <si>
    <t>Blow on sensor</t>
  </si>
  <si>
    <t>Half wiped</t>
  </si>
  <si>
    <t>Full wiped</t>
  </si>
  <si>
    <t>Wipe on sensor</t>
  </si>
  <si>
    <t>Manual</t>
  </si>
  <si>
    <t>Dry (V)</t>
  </si>
  <si>
    <t>Half (V)</t>
  </si>
  <si>
    <t>Full (V)</t>
  </si>
  <si>
    <t>Wipe on (V)</t>
  </si>
  <si>
    <t>Blow (V)</t>
  </si>
  <si>
    <t>Average</t>
  </si>
  <si>
    <t>St.Dev.</t>
  </si>
  <si>
    <t>Automated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</si>
</sst>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"/>
    <numFmt numFmtId="166" formatCode="0.0000"/>
    <numFmt numFmtId="167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0" fontId="1" numFmtId="164" xfId="0" applyFont="1" applyNumberFormat="1"/>
    <xf borderId="0" fillId="0" fontId="1" numFmtId="167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Measured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Automated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690433"/>
        <c:axId val="1815904929"/>
      </c:scatterChart>
      <c:valAx>
        <c:axId val="1909690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904929"/>
      </c:valAx>
      <c:valAx>
        <c:axId val="1815904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690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1" t="s">
        <v>3</v>
      </c>
      <c r="C2" s="1" t="s">
        <v>4</v>
      </c>
      <c r="D2" s="1" t="s">
        <v>3</v>
      </c>
      <c r="E2" s="1" t="s">
        <v>4</v>
      </c>
    </row>
    <row r="3">
      <c r="A3" s="1" t="s">
        <v>5</v>
      </c>
      <c r="B3" s="1">
        <v>3.294</v>
      </c>
      <c r="C3" s="2">
        <v>0.003464</v>
      </c>
      <c r="D3" s="3">
        <v>3.3</v>
      </c>
      <c r="E3" s="3">
        <v>0.0</v>
      </c>
      <c r="F3" s="4"/>
    </row>
    <row r="4">
      <c r="A4" s="1" t="s">
        <v>6</v>
      </c>
      <c r="B4" s="1">
        <v>3.162</v>
      </c>
      <c r="C4" s="3">
        <v>0.0125</v>
      </c>
      <c r="D4" s="3">
        <v>3.25</v>
      </c>
      <c r="E4" s="5">
        <v>0.2527</v>
      </c>
      <c r="F4" s="4"/>
    </row>
    <row r="5">
      <c r="A5" s="1" t="s">
        <v>7</v>
      </c>
      <c r="B5" s="1">
        <v>2.372</v>
      </c>
      <c r="C5" s="3">
        <v>0.3651</v>
      </c>
      <c r="D5" s="1">
        <v>1.798</v>
      </c>
      <c r="E5" s="5">
        <v>0.1421</v>
      </c>
      <c r="F5" s="4"/>
    </row>
    <row r="6">
      <c r="A6" s="1" t="s">
        <v>8</v>
      </c>
      <c r="B6" s="3">
        <v>1.6</v>
      </c>
      <c r="C6" s="3">
        <v>0.224</v>
      </c>
      <c r="D6" s="1">
        <v>1.058</v>
      </c>
      <c r="E6" s="5">
        <v>0.01481</v>
      </c>
      <c r="F6" s="4"/>
    </row>
    <row r="7">
      <c r="A7" s="1" t="s">
        <v>9</v>
      </c>
      <c r="B7" s="1">
        <v>0.4682</v>
      </c>
      <c r="C7" s="6">
        <v>0.02577</v>
      </c>
      <c r="D7" s="5">
        <v>0.513</v>
      </c>
      <c r="E7" s="6">
        <v>0.03593</v>
      </c>
      <c r="F7" s="4"/>
    </row>
    <row r="10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>
      <c r="A11" s="1">
        <v>1.0</v>
      </c>
      <c r="B11" s="3">
        <v>3.298</v>
      </c>
      <c r="C11" s="3">
        <v>2.695</v>
      </c>
      <c r="D11" s="1">
        <v>1.389</v>
      </c>
      <c r="E11" s="1">
        <v>0.4945</v>
      </c>
      <c r="F11" s="3">
        <v>3.162</v>
      </c>
    </row>
    <row r="12">
      <c r="A12" s="1">
        <v>2.0</v>
      </c>
      <c r="B12" s="3">
        <v>3.292</v>
      </c>
      <c r="C12" s="1">
        <v>1.976</v>
      </c>
      <c r="D12" s="1">
        <v>1.575</v>
      </c>
      <c r="E12" s="5">
        <v>0.467</v>
      </c>
      <c r="F12" s="1">
        <v>3.149</v>
      </c>
    </row>
    <row r="13">
      <c r="A13" s="1">
        <v>3.0</v>
      </c>
      <c r="B13" s="3">
        <v>3.292</v>
      </c>
      <c r="C13" s="1">
        <v>2.446</v>
      </c>
      <c r="D13" s="1">
        <v>1.835</v>
      </c>
      <c r="E13" s="5">
        <v>0.443</v>
      </c>
      <c r="F13" s="1">
        <v>3.174</v>
      </c>
    </row>
    <row r="14">
      <c r="A14" s="1" t="s">
        <v>16</v>
      </c>
      <c r="B14" s="4">
        <f t="shared" ref="B14:F14" si="1">AVERAGE(B11:B13)</f>
        <v>3.294</v>
      </c>
      <c r="C14" s="4">
        <f t="shared" si="1"/>
        <v>2.372333333</v>
      </c>
      <c r="D14" s="4">
        <f t="shared" si="1"/>
        <v>1.599666667</v>
      </c>
      <c r="E14" s="7">
        <f t="shared" si="1"/>
        <v>0.4681666667</v>
      </c>
      <c r="F14" s="4">
        <f t="shared" si="1"/>
        <v>3.161666667</v>
      </c>
    </row>
    <row r="15">
      <c r="A15" s="1" t="s">
        <v>17</v>
      </c>
      <c r="B15" s="8">
        <f t="shared" ref="B15:F15" si="2">STDEV(B11:B13)</f>
        <v>0.003464101615</v>
      </c>
      <c r="C15" s="7">
        <f t="shared" si="2"/>
        <v>0.3651168763</v>
      </c>
      <c r="D15" s="7">
        <f t="shared" si="2"/>
        <v>0.2240208324</v>
      </c>
      <c r="E15" s="9">
        <f t="shared" si="2"/>
        <v>0.02576981438</v>
      </c>
      <c r="F15" s="9">
        <f t="shared" si="2"/>
        <v>0.01250333289</v>
      </c>
    </row>
    <row r="16">
      <c r="B16" s="3"/>
    </row>
    <row r="17">
      <c r="B17" s="3"/>
    </row>
    <row r="18">
      <c r="A18" s="1" t="s">
        <v>18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</row>
    <row r="19">
      <c r="A19" s="1">
        <v>1.0</v>
      </c>
      <c r="B19" s="3">
        <v>3.3</v>
      </c>
      <c r="C19" s="3">
        <v>1.7</v>
      </c>
      <c r="D19" s="1">
        <v>1.202</v>
      </c>
      <c r="E19" s="1">
        <v>0.476</v>
      </c>
      <c r="F19" s="3">
        <v>3.3</v>
      </c>
    </row>
    <row r="20">
      <c r="A20" s="1">
        <v>2.0</v>
      </c>
      <c r="B20" s="3">
        <v>3.3</v>
      </c>
      <c r="C20" s="1">
        <v>1.799</v>
      </c>
      <c r="D20" s="1">
        <v>1.257</v>
      </c>
      <c r="E20" s="1">
        <v>0.523</v>
      </c>
      <c r="F20" s="1">
        <v>3.217</v>
      </c>
    </row>
    <row r="21">
      <c r="A21" s="1">
        <v>3.0</v>
      </c>
      <c r="B21" s="3">
        <v>3.3</v>
      </c>
      <c r="C21" s="1">
        <v>1.866</v>
      </c>
      <c r="D21" s="1">
        <v>1.293</v>
      </c>
      <c r="E21" s="1">
        <v>0.514</v>
      </c>
      <c r="F21" s="1">
        <v>3.217</v>
      </c>
    </row>
    <row r="22">
      <c r="A22" s="1">
        <v>4.0</v>
      </c>
      <c r="B22" s="3">
        <v>3.3</v>
      </c>
      <c r="C22" s="1">
        <v>1.979</v>
      </c>
      <c r="D22" s="5">
        <v>0.9</v>
      </c>
      <c r="E22" s="1">
        <v>0.521</v>
      </c>
      <c r="F22" s="1">
        <v>3.218</v>
      </c>
    </row>
    <row r="23">
      <c r="A23" s="1">
        <v>5.0</v>
      </c>
      <c r="B23" s="3">
        <v>3.3</v>
      </c>
      <c r="C23" s="1">
        <v>2.101</v>
      </c>
      <c r="D23" s="1">
        <v>1.008</v>
      </c>
      <c r="E23" s="1">
        <v>0.521</v>
      </c>
      <c r="F23" s="1">
        <v>3.235</v>
      </c>
    </row>
    <row r="24">
      <c r="A24" s="1">
        <v>6.0</v>
      </c>
      <c r="B24" s="3">
        <v>3.3</v>
      </c>
      <c r="C24" s="1">
        <v>2.249</v>
      </c>
      <c r="D24" s="1">
        <v>1.023</v>
      </c>
      <c r="E24" s="1">
        <v>0.522</v>
      </c>
      <c r="F24" s="1">
        <v>3.258</v>
      </c>
    </row>
    <row r="25">
      <c r="A25" s="1">
        <v>7.0</v>
      </c>
      <c r="B25" s="3">
        <v>3.3</v>
      </c>
      <c r="C25" s="1">
        <v>1.459</v>
      </c>
      <c r="D25" s="1">
        <v>1.039</v>
      </c>
      <c r="E25" s="1">
        <v>0.52</v>
      </c>
      <c r="F25" s="1">
        <v>3.277</v>
      </c>
    </row>
    <row r="26">
      <c r="A26" s="1">
        <v>8.0</v>
      </c>
      <c r="B26" s="3">
        <v>3.3</v>
      </c>
      <c r="C26" s="1">
        <v>1.542</v>
      </c>
      <c r="D26" s="1">
        <v>0.909</v>
      </c>
      <c r="E26" s="1">
        <v>0.523</v>
      </c>
      <c r="F26" s="1">
        <v>3.281</v>
      </c>
    </row>
    <row r="27">
      <c r="A27" s="1">
        <v>9.0</v>
      </c>
      <c r="B27" s="3">
        <v>3.3</v>
      </c>
      <c r="C27" s="1">
        <v>1.606</v>
      </c>
      <c r="D27" s="1">
        <v>0.961</v>
      </c>
      <c r="E27" s="1">
        <v>0.508</v>
      </c>
      <c r="F27" s="3">
        <v>3.3</v>
      </c>
    </row>
    <row r="28">
      <c r="A28" s="1">
        <v>10.0</v>
      </c>
      <c r="B28" s="3">
        <v>3.3</v>
      </c>
      <c r="C28" s="1">
        <v>1.675</v>
      </c>
      <c r="D28" s="1">
        <v>0.983</v>
      </c>
      <c r="E28" s="1">
        <v>0.502</v>
      </c>
      <c r="F28" s="3">
        <v>3.3</v>
      </c>
    </row>
    <row r="29">
      <c r="A29" s="1" t="s">
        <v>16</v>
      </c>
      <c r="B29" s="4">
        <f t="shared" ref="B29:E29" si="3">AVERAGE(B19:B28)</f>
        <v>3.3</v>
      </c>
      <c r="C29" s="4">
        <f t="shared" si="3"/>
        <v>1.7976</v>
      </c>
      <c r="D29" s="4">
        <f t="shared" si="3"/>
        <v>1.0575</v>
      </c>
      <c r="E29" s="7">
        <f t="shared" si="3"/>
        <v>0.513</v>
      </c>
      <c r="F29" s="4">
        <f>AVERAGE(F19:F26)</f>
        <v>3.250375</v>
      </c>
    </row>
    <row r="30">
      <c r="A30" s="1" t="s">
        <v>17</v>
      </c>
      <c r="B30" s="10">
        <f t="shared" ref="B30:F30" si="4">STDEV(B19:B28)</f>
        <v>0</v>
      </c>
      <c r="C30" s="7">
        <f t="shared" si="4"/>
        <v>0.2526852236</v>
      </c>
      <c r="D30" s="7">
        <f t="shared" si="4"/>
        <v>0.1421440975</v>
      </c>
      <c r="E30" s="9">
        <f t="shared" si="4"/>
        <v>0.01480990659</v>
      </c>
      <c r="F30" s="9">
        <f t="shared" si="4"/>
        <v>0.03593218922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